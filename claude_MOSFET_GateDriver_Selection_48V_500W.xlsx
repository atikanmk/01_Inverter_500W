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Parameters" sheetId="1" state="visible" r:id="rId1"/>
    <sheet xmlns:r="http://schemas.openxmlformats.org/officeDocument/2006/relationships" name="MOSFET Selection" sheetId="2" state="visible" r:id="rId2"/>
    <sheet xmlns:r="http://schemas.openxmlformats.org/officeDocument/2006/relationships" name="Gate Driver Selection" sheetId="3" state="visible" r:id="rId3"/>
    <sheet xmlns:r="http://schemas.openxmlformats.org/officeDocument/2006/relationships" name="BOM (Recommended)" sheetId="4" state="visible" r:id="rId4"/>
    <sheet xmlns:r="http://schemas.openxmlformats.org/officeDocument/2006/relationships" name="Gate Drive Circu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9" fontId="3" fillId="4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164" fontId="3" fillId="5" borderId="2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3" fontId="3" fillId="6" borderId="2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4" fillId="4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10" borderId="2" applyAlignment="1" pivotButton="0" quotePrefix="0" xfId="0">
      <alignment vertical="center"/>
    </xf>
    <xf numFmtId="0" fontId="3" fillId="10" borderId="2" applyAlignment="1" pivotButton="0" quotePrefix="0" xfId="0">
      <alignment vertical="center" wrapText="1"/>
    </xf>
    <xf numFmtId="0" fontId="2" fillId="11" borderId="0" applyAlignment="1" pivotButton="0" quotePrefix="0" xfId="0">
      <alignment horizontal="left" vertical="center"/>
    </xf>
    <xf numFmtId="0" fontId="3" fillId="12" borderId="2" applyAlignment="1" pivotButton="0" quotePrefix="0" xfId="0">
      <alignment vertical="center"/>
    </xf>
    <xf numFmtId="0" fontId="3" fillId="12" borderId="2" applyAlignment="1" pivotButton="0" quotePrefix="0" xfId="0">
      <alignment vertical="center" wrapText="1"/>
    </xf>
    <xf numFmtId="0" fontId="3" fillId="1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8" customWidth="1" min="4" max="4"/>
    <col width="42" customWidth="1" min="5" max="5"/>
    <col width="28" customWidth="1" min="6" max="6"/>
  </cols>
  <sheetData>
    <row r="1" ht="30" customHeight="1">
      <c r="A1" s="1" t="inlineStr">
        <is>
          <t>🔧  Inverter Design Parameters  |  48 V / 500 W Motor Drive</t>
        </is>
      </c>
      <c r="B1" s="34" t="n"/>
      <c r="C1" s="34" t="n"/>
      <c r="D1" s="34" t="n"/>
      <c r="E1" s="34" t="n"/>
      <c r="F1" s="35" t="n"/>
    </row>
    <row r="2" ht="6" customHeight="1"/>
    <row r="3">
      <c r="A3" s="2" t="inlineStr">
        <is>
          <t>DESIGN INPUTS</t>
        </is>
      </c>
    </row>
    <row r="4">
      <c r="A4" s="3" t="inlineStr">
        <is>
          <t>Parameter</t>
        </is>
      </c>
      <c r="B4" s="3" t="inlineStr">
        <is>
          <t>Symbol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Notes</t>
        </is>
      </c>
      <c r="F4" s="3" t="inlineStr">
        <is>
          <t>Formula / Source</t>
        </is>
      </c>
    </row>
    <row r="5">
      <c r="A5" s="4" t="inlineStr">
        <is>
          <t>Motor Voltage (Bus)</t>
        </is>
      </c>
      <c r="B5" s="5" t="inlineStr">
        <is>
          <t>V_bus</t>
        </is>
      </c>
      <c r="C5" s="5" t="n">
        <v>48</v>
      </c>
      <c r="D5" s="5" t="inlineStr">
        <is>
          <t>V</t>
        </is>
      </c>
      <c r="E5" s="4" t="inlineStr">
        <is>
          <t>Nominal 48 V LiFePO4 / Lead-acid</t>
        </is>
      </c>
      <c r="F5" s="4" t="inlineStr">
        <is>
          <t>—</t>
        </is>
      </c>
    </row>
    <row r="6">
      <c r="A6" s="4" t="inlineStr">
        <is>
          <t>Output Power</t>
        </is>
      </c>
      <c r="B6" s="5" t="inlineStr">
        <is>
          <t>P_out</t>
        </is>
      </c>
      <c r="C6" s="5" t="n">
        <v>500</v>
      </c>
      <c r="D6" s="5" t="inlineStr">
        <is>
          <t>W</t>
        </is>
      </c>
      <c r="E6" s="4" t="inlineStr">
        <is>
          <t>Continuous rated power</t>
        </is>
      </c>
      <c r="F6" s="4" t="inlineStr">
        <is>
          <t>—</t>
        </is>
      </c>
    </row>
    <row r="7">
      <c r="A7" s="4" t="inlineStr">
        <is>
          <t>Motor Efficiency (est.)</t>
        </is>
      </c>
      <c r="B7" s="5" t="inlineStr">
        <is>
          <t>η_motor</t>
        </is>
      </c>
      <c r="C7" s="6" t="n">
        <v>0.85</v>
      </c>
      <c r="D7" s="5" t="inlineStr">
        <is>
          <t>—</t>
        </is>
      </c>
      <c r="E7" s="4" t="inlineStr">
        <is>
          <t>Typical BLDC efficiency</t>
        </is>
      </c>
      <c r="F7" s="4" t="inlineStr">
        <is>
          <t>—</t>
        </is>
      </c>
    </row>
    <row r="8">
      <c r="A8" s="4" t="inlineStr">
        <is>
          <t>Inverter Efficiency (est.)</t>
        </is>
      </c>
      <c r="B8" s="5" t="inlineStr">
        <is>
          <t>η_inv</t>
        </is>
      </c>
      <c r="C8" s="7" t="n">
        <v>0.95</v>
      </c>
      <c r="D8" s="5" t="inlineStr">
        <is>
          <t>—</t>
        </is>
      </c>
      <c r="E8" s="4" t="inlineStr">
        <is>
          <t>PWM inverter typical</t>
        </is>
      </c>
      <c r="F8" s="4" t="inlineStr">
        <is>
          <t>—</t>
        </is>
      </c>
    </row>
    <row r="9">
      <c r="A9" s="8" t="inlineStr">
        <is>
          <t>Continuous DC Current</t>
        </is>
      </c>
      <c r="B9" s="9" t="inlineStr">
        <is>
          <t>I_dc</t>
        </is>
      </c>
      <c r="C9" s="10">
        <f>C5/(C4*C6*C7)</f>
        <v/>
      </c>
      <c r="D9" s="9" t="inlineStr">
        <is>
          <t>A</t>
        </is>
      </c>
      <c r="E9" s="8">
        <f>P_out/(V_bus×η_motor×η_inv)</f>
        <v/>
      </c>
      <c r="F9" s="8" t="inlineStr"/>
    </row>
    <row r="10">
      <c r="A10" s="8" t="inlineStr">
        <is>
          <t>Phase Peak Current (3-phase)</t>
        </is>
      </c>
      <c r="B10" s="9" t="inlineStr">
        <is>
          <t>I_peak</t>
        </is>
      </c>
      <c r="C10" s="10">
        <f>C8*1.5</f>
        <v/>
      </c>
      <c r="D10" s="9" t="inlineStr">
        <is>
          <t>A</t>
        </is>
      </c>
      <c r="E10" s="8" t="inlineStr">
        <is>
          <t>I_dc × √2 × 1/√3 × 2 (margin)</t>
        </is>
      </c>
      <c r="F10" s="8" t="inlineStr"/>
    </row>
    <row r="11">
      <c r="A11" s="8" t="inlineStr">
        <is>
          <t>MOSFET Voltage Rating</t>
        </is>
      </c>
      <c r="B11" s="9" t="inlineStr">
        <is>
          <t>V_ds_min</t>
        </is>
      </c>
      <c r="C11" s="10">
        <f>C4*2</f>
        <v/>
      </c>
      <c r="D11" s="9" t="inlineStr">
        <is>
          <t>V</t>
        </is>
      </c>
      <c r="E11" s="8" t="inlineStr">
        <is>
          <t>V_bus × 2.0 safety margin</t>
        </is>
      </c>
      <c r="F11" s="8" t="inlineStr"/>
    </row>
    <row r="12">
      <c r="A12" s="8" t="inlineStr">
        <is>
          <t>MOSFET Current Rating</t>
        </is>
      </c>
      <c r="B12" s="9" t="inlineStr">
        <is>
          <t>I_d_min</t>
        </is>
      </c>
      <c r="C12" s="9">
        <f>C9*2</f>
        <v/>
      </c>
      <c r="D12" s="9" t="inlineStr">
        <is>
          <t>A</t>
        </is>
      </c>
      <c r="E12" s="8" t="inlineStr">
        <is>
          <t>I_peak × 2.0 safety margin</t>
        </is>
      </c>
      <c r="F12" s="8" t="inlineStr"/>
    </row>
    <row r="13">
      <c r="A13" s="4" t="inlineStr">
        <is>
          <t>Switching Frequency</t>
        </is>
      </c>
      <c r="B13" s="5" t="inlineStr">
        <is>
          <t>f_sw</t>
        </is>
      </c>
      <c r="C13" s="5" t="n">
        <v>20</v>
      </c>
      <c r="D13" s="5" t="inlineStr">
        <is>
          <t>kHz</t>
        </is>
      </c>
      <c r="E13" s="4" t="inlineStr">
        <is>
          <t>Typical BLDC inverter</t>
        </is>
      </c>
      <c r="F13" s="4" t="inlineStr">
        <is>
          <t>—</t>
        </is>
      </c>
    </row>
    <row r="14">
      <c r="A14" s="4" t="inlineStr">
        <is>
          <t>Dead Time</t>
        </is>
      </c>
      <c r="B14" s="5" t="inlineStr">
        <is>
          <t>t_dead</t>
        </is>
      </c>
      <c r="C14" s="5" t="n">
        <v>500</v>
      </c>
      <c r="D14" s="5" t="inlineStr">
        <is>
          <t>ns</t>
        </is>
      </c>
      <c r="E14" s="4" t="inlineStr">
        <is>
          <t>Prevent shoot-through</t>
        </is>
      </c>
      <c r="F14" s="4" t="inlineStr">
        <is>
          <t>—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10" customWidth="1" min="8" max="8"/>
    <col width="16" customWidth="1" min="9" max="9"/>
    <col width="14" customWidth="1" min="10" max="10"/>
    <col width="12" customWidth="1" min="11" max="11"/>
    <col width="48" customWidth="1" min="12" max="12"/>
    <col width="28" customWidth="1" min="13" max="13"/>
  </cols>
  <sheetData>
    <row r="1" ht="30" customHeight="1">
      <c r="A1" s="1" t="inlineStr">
        <is>
          <t>⚡  MOSFET Selection  |  48 V / 500 W Motor Inverter  |  หาซื้อได้ใน Shopee ไทย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5" t="n"/>
    </row>
    <row r="2" ht="6" customHeight="1">
      <c r="A2" s="11" t="inlineStr">
        <is>
          <t>★ = แนะนำ  |  ✔ = ใช้ได้  |  ✖ = ไม่แนะนำ  |  สีเขียว = แนะนำ, สีเหลือง = ใช้ได้แต่มีข้อจำกัด, สีแดง = ไม่เหมาะสม</t>
        </is>
      </c>
    </row>
    <row r="3" ht="36" customHeight="1">
      <c r="A3" s="3" t="inlineStr">
        <is>
          <t>Part Number</t>
        </is>
      </c>
      <c r="B3" s="3" t="inlineStr">
        <is>
          <t>Manufacturer</t>
        </is>
      </c>
      <c r="C3" s="3" t="inlineStr">
        <is>
          <t>V_ds (V)</t>
        </is>
      </c>
      <c r="D3" s="3" t="inlineStr">
        <is>
          <t>I_d cont. (A)</t>
        </is>
      </c>
      <c r="E3" s="3" t="inlineStr">
        <is>
          <t>I_d peak (A)</t>
        </is>
      </c>
      <c r="F3" s="3" t="inlineStr">
        <is>
          <t>R_ds(on) (mΩ)</t>
        </is>
      </c>
      <c r="G3" s="3" t="inlineStr">
        <is>
          <t>V_gs(th) (V)</t>
        </is>
      </c>
      <c r="H3" s="3" t="inlineStr">
        <is>
          <t>Package</t>
        </is>
      </c>
      <c r="I3" s="3" t="inlineStr">
        <is>
          <t>Gate Charge Qg (nC)</t>
        </is>
      </c>
      <c r="J3" s="3" t="inlineStr">
        <is>
          <t>ราคา/ตัว (฿ est.)</t>
        </is>
      </c>
      <c r="K3" s="3" t="inlineStr">
        <is>
          <t>เลือกใช้</t>
        </is>
      </c>
      <c r="L3" s="3" t="inlineStr">
        <is>
          <t>หมายเหตุ / ข้อดีข้อเสีย</t>
        </is>
      </c>
      <c r="M3" s="3" t="inlineStr">
        <is>
          <t>ค้นหาใน Shopee</t>
        </is>
      </c>
    </row>
    <row r="4" ht="42" customHeight="1">
      <c r="A4" s="12" t="inlineStr">
        <is>
          <t>IRFB4110</t>
        </is>
      </c>
      <c r="B4" s="12" t="inlineStr">
        <is>
          <t>Infineon/IR</t>
        </is>
      </c>
      <c r="C4" s="12" t="n">
        <v>100</v>
      </c>
      <c r="D4" s="12" t="n">
        <v>120</v>
      </c>
      <c r="E4" s="12" t="n">
        <v>400</v>
      </c>
      <c r="F4" s="12" t="n">
        <v>3.7</v>
      </c>
      <c r="G4" s="12" t="inlineStr">
        <is>
          <t>2.0-4.0</t>
        </is>
      </c>
      <c r="H4" s="12" t="inlineStr">
        <is>
          <t>TO-220AB</t>
        </is>
      </c>
      <c r="I4" s="12" t="n">
        <v>150</v>
      </c>
      <c r="J4" s="12" t="inlineStr">
        <is>
          <t>40-80</t>
        </is>
      </c>
      <c r="K4" s="13" t="inlineStr">
        <is>
          <t>★ แนะนำ</t>
        </is>
      </c>
      <c r="L4" s="14" t="inlineStr">
        <is>
          <t>Rds ต่ำมาก ทนกระแสสูง เหมาะที่สุดสำหรับงานนี้ ราคาปานกลาง</t>
        </is>
      </c>
      <c r="M4" s="12" t="inlineStr">
        <is>
          <t>IRFB4110 MOSFET</t>
        </is>
      </c>
    </row>
    <row r="5" ht="42" customHeight="1">
      <c r="A5" s="12" t="inlineStr">
        <is>
          <t>IRF3710</t>
        </is>
      </c>
      <c r="B5" s="12" t="inlineStr">
        <is>
          <t>Infineon/IR</t>
        </is>
      </c>
      <c r="C5" s="12" t="n">
        <v>100</v>
      </c>
      <c r="D5" s="12" t="n">
        <v>57</v>
      </c>
      <c r="E5" s="12" t="n">
        <v>200</v>
      </c>
      <c r="F5" s="12" t="n">
        <v>23</v>
      </c>
      <c r="G5" s="12" t="inlineStr">
        <is>
          <t>2.0-4.0</t>
        </is>
      </c>
      <c r="H5" s="12" t="inlineStr">
        <is>
          <t>TO-220AB</t>
        </is>
      </c>
      <c r="I5" s="12" t="n">
        <v>71</v>
      </c>
      <c r="J5" s="12" t="inlineStr">
        <is>
          <t>25-50</t>
        </is>
      </c>
      <c r="K5" s="13" t="inlineStr">
        <is>
          <t>★ แนะนำ</t>
        </is>
      </c>
      <c r="L5" s="14" t="inlineStr">
        <is>
          <t>ราคาถูก หาง่าย Rds พอใช้ เหมาะสำหรับงบจำกัด</t>
        </is>
      </c>
      <c r="M5" s="12" t="inlineStr">
        <is>
          <t>IRF3710 MOSFET</t>
        </is>
      </c>
    </row>
    <row r="6" ht="42" customHeight="1">
      <c r="A6" s="15" t="inlineStr">
        <is>
          <t>IRFP260N</t>
        </is>
      </c>
      <c r="B6" s="15" t="inlineStr">
        <is>
          <t>Infineon/IR</t>
        </is>
      </c>
      <c r="C6" s="15" t="n">
        <v>200</v>
      </c>
      <c r="D6" s="15" t="n">
        <v>50</v>
      </c>
      <c r="E6" s="15" t="n">
        <v>120</v>
      </c>
      <c r="F6" s="15" t="n">
        <v>40</v>
      </c>
      <c r="G6" s="15" t="inlineStr">
        <is>
          <t>2.0-4.0</t>
        </is>
      </c>
      <c r="H6" s="15" t="inlineStr">
        <is>
          <t>TO-247AC</t>
        </is>
      </c>
      <c r="I6" s="15" t="n">
        <v>97</v>
      </c>
      <c r="J6" s="15" t="inlineStr">
        <is>
          <t>60-120</t>
        </is>
      </c>
      <c r="K6" s="16" t="inlineStr">
        <is>
          <t>✔ ใช้ได้</t>
        </is>
      </c>
      <c r="L6" s="17" t="inlineStr">
        <is>
          <t>Vds สูง margin เยอะ แต่ Rds สูงกว่า ความร้อนมากกว่า</t>
        </is>
      </c>
      <c r="M6" s="15" t="inlineStr">
        <is>
          <t>IRFP260N MOSFET</t>
        </is>
      </c>
    </row>
    <row r="7" ht="42" customHeight="1">
      <c r="A7" s="15" t="inlineStr">
        <is>
          <t>NCE3080K</t>
        </is>
      </c>
      <c r="B7" s="15" t="inlineStr">
        <is>
          <t>NCE (TH)</t>
        </is>
      </c>
      <c r="C7" s="15" t="n">
        <v>80</v>
      </c>
      <c r="D7" s="15" t="n">
        <v>30</v>
      </c>
      <c r="E7" s="15" t="n">
        <v>80</v>
      </c>
      <c r="F7" s="15" t="n">
        <v>28</v>
      </c>
      <c r="G7" s="15" t="inlineStr">
        <is>
          <t>1.5-3.5</t>
        </is>
      </c>
      <c r="H7" s="15" t="inlineStr">
        <is>
          <t>TO-220</t>
        </is>
      </c>
      <c r="I7" s="15" t="n">
        <v>58</v>
      </c>
      <c r="J7" s="15" t="inlineStr">
        <is>
          <t>15-35</t>
        </is>
      </c>
      <c r="K7" s="16" t="inlineStr">
        <is>
          <t>✔ ใช้ได้</t>
        </is>
      </c>
      <c r="L7" s="17" t="inlineStr">
        <is>
          <t>ราคาถูกมาก หาง่ายใน Shopee แต่ Vds=80V margin น้อย และ Id ต้องขนาน</t>
        </is>
      </c>
      <c r="M7" s="15" t="inlineStr">
        <is>
          <t>NCE3080K MOSFET</t>
        </is>
      </c>
    </row>
    <row r="8" ht="42" customHeight="1">
      <c r="A8" s="15" t="inlineStr">
        <is>
          <t>IRF540N</t>
        </is>
      </c>
      <c r="B8" s="15" t="inlineStr">
        <is>
          <t>Infineon/IR</t>
        </is>
      </c>
      <c r="C8" s="15" t="n">
        <v>100</v>
      </c>
      <c r="D8" s="15" t="n">
        <v>33</v>
      </c>
      <c r="E8" s="15" t="n">
        <v>94</v>
      </c>
      <c r="F8" s="15" t="n">
        <v>77</v>
      </c>
      <c r="G8" s="15" t="inlineStr">
        <is>
          <t>2.0-4.0</t>
        </is>
      </c>
      <c r="H8" s="15" t="inlineStr">
        <is>
          <t>TO-220AB</t>
        </is>
      </c>
      <c r="I8" s="15" t="n">
        <v>72</v>
      </c>
      <c r="J8" s="15" t="inlineStr">
        <is>
          <t>20-45</t>
        </is>
      </c>
      <c r="K8" s="16" t="inlineStr">
        <is>
          <t>✔ ใช้ได้</t>
        </is>
      </c>
      <c r="L8" s="17" t="inlineStr">
        <is>
          <t>ราคาถูก หาง่ายมาก แต่ Rds สูง ต้องขนาน 2 ตัว/ขา ความร้อนสูง</t>
        </is>
      </c>
      <c r="M8" s="15" t="inlineStr">
        <is>
          <t>IRF540N MOSFET</t>
        </is>
      </c>
    </row>
    <row r="9" ht="42" customHeight="1">
      <c r="A9" s="15" t="inlineStr">
        <is>
          <t>STP75NF75</t>
        </is>
      </c>
      <c r="B9" s="15" t="inlineStr">
        <is>
          <t>STMicro</t>
        </is>
      </c>
      <c r="C9" s="15" t="n">
        <v>75</v>
      </c>
      <c r="D9" s="15" t="n">
        <v>75</v>
      </c>
      <c r="E9" s="15" t="n">
        <v>300</v>
      </c>
      <c r="F9" s="15" t="n">
        <v>8</v>
      </c>
      <c r="G9" s="15" t="inlineStr">
        <is>
          <t>2.0-4.0</t>
        </is>
      </c>
      <c r="H9" s="15" t="inlineStr">
        <is>
          <t>TO-220</t>
        </is>
      </c>
      <c r="I9" s="15" t="n">
        <v>100</v>
      </c>
      <c r="J9" s="15" t="inlineStr">
        <is>
          <t>35-70</t>
        </is>
      </c>
      <c r="K9" s="16" t="inlineStr">
        <is>
          <t>✔ ใช้ได้</t>
        </is>
      </c>
      <c r="L9" s="17" t="inlineStr">
        <is>
          <t>Vds=75V ค่อนข้างน้อยสำหรับ 48V (margin 56%) ควรระวัง spike</t>
        </is>
      </c>
      <c r="M9" s="15" t="inlineStr">
        <is>
          <t>STP75NF75 MOSFET</t>
        </is>
      </c>
    </row>
    <row r="10" ht="42" customHeight="1">
      <c r="A10" s="18" t="inlineStr">
        <is>
          <t>IRFZ44N</t>
        </is>
      </c>
      <c r="B10" s="18" t="inlineStr">
        <is>
          <t>Infineon/IR</t>
        </is>
      </c>
      <c r="C10" s="18" t="n">
        <v>55</v>
      </c>
      <c r="D10" s="18" t="n">
        <v>49</v>
      </c>
      <c r="E10" s="18" t="n">
        <v>160</v>
      </c>
      <c r="F10" s="18" t="n">
        <v>17.5</v>
      </c>
      <c r="G10" s="18" t="inlineStr">
        <is>
          <t>2.0-4.0</t>
        </is>
      </c>
      <c r="H10" s="18" t="inlineStr">
        <is>
          <t>TO-220AB</t>
        </is>
      </c>
      <c r="I10" s="18" t="n">
        <v>88</v>
      </c>
      <c r="J10" s="18" t="inlineStr">
        <is>
          <t>15-30</t>
        </is>
      </c>
      <c r="K10" s="19" t="inlineStr">
        <is>
          <t>✖ ไม่แนะนำ</t>
        </is>
      </c>
      <c r="L10" s="20" t="inlineStr">
        <is>
          <t>Vds=55V ต่ำเกินไป! สำหรับ 48V bus มี margin เพียง 14% เสียง breakdown</t>
        </is>
      </c>
      <c r="M10" s="18" t="inlineStr">
        <is>
          <t>IRFZ44N MOSFET</t>
        </is>
      </c>
    </row>
    <row r="11" ht="42" customHeight="1">
      <c r="A11" s="18" t="inlineStr">
        <is>
          <t>IRLZ44N</t>
        </is>
      </c>
      <c r="B11" s="18" t="inlineStr">
        <is>
          <t>Infineon/IR</t>
        </is>
      </c>
      <c r="C11" s="18" t="n">
        <v>55</v>
      </c>
      <c r="D11" s="18" t="n">
        <v>47</v>
      </c>
      <c r="E11" s="18" t="n">
        <v>160</v>
      </c>
      <c r="F11" s="18" t="n">
        <v>22</v>
      </c>
      <c r="G11" s="18" t="inlineStr">
        <is>
          <t>1.0-2.0</t>
        </is>
      </c>
      <c r="H11" s="18" t="inlineStr">
        <is>
          <t>TO-220AB</t>
        </is>
      </c>
      <c r="I11" s="18" t="n">
        <v>90</v>
      </c>
      <c r="J11" s="18" t="inlineStr">
        <is>
          <t>20-40</t>
        </is>
      </c>
      <c r="K11" s="19" t="inlineStr">
        <is>
          <t>✖ ไม่แนะนำ</t>
        </is>
      </c>
      <c r="L11" s="20" t="inlineStr">
        <is>
          <t>Vds=55V ต่ำเกินไปสำหรับ 48V Logic-level gate แต่ใช้ Vds ไม่ได้</t>
        </is>
      </c>
      <c r="M11" s="18" t="inlineStr">
        <is>
          <t>IRLZ44N MOSFET</t>
        </is>
      </c>
    </row>
    <row r="12" ht="42" customHeight="1">
      <c r="A12" s="15" t="inlineStr">
        <is>
          <t>FDP2532</t>
        </is>
      </c>
      <c r="B12" s="15" t="inlineStr">
        <is>
          <t>ON Semi</t>
        </is>
      </c>
      <c r="C12" s="15" t="n">
        <v>150</v>
      </c>
      <c r="D12" s="15" t="n">
        <v>90</v>
      </c>
      <c r="E12" s="15" t="n">
        <v>300</v>
      </c>
      <c r="F12" s="15" t="n">
        <v>12</v>
      </c>
      <c r="G12" s="15" t="inlineStr">
        <is>
          <t>2.0-4.0</t>
        </is>
      </c>
      <c r="H12" s="15" t="inlineStr">
        <is>
          <t>TO-220</t>
        </is>
      </c>
      <c r="I12" s="15" t="n">
        <v>130</v>
      </c>
      <c r="J12" s="15" t="inlineStr">
        <is>
          <t>50-90</t>
        </is>
      </c>
      <c r="K12" s="16" t="inlineStr">
        <is>
          <t>✔ ใช้ได้</t>
        </is>
      </c>
      <c r="L12" s="17" t="inlineStr">
        <is>
          <t>Vds สูง margin เยอะ Rds ดี แต่หายากกว่าในไทย ราคาสูงขึ้น</t>
        </is>
      </c>
      <c r="M12" s="15" t="inlineStr">
        <is>
          <t>FDP2532 MOSFET</t>
        </is>
      </c>
    </row>
    <row r="14">
      <c r="A14" s="21" t="inlineStr">
        <is>
          <t>📌  เกณฑ์การเลือก: V_ds ≥ 96V (48V×2.0), I_d ≥ 20A (continuous DC ~11A × 2.0 margin)  |  ขนาดหม้อน้ำ (heatsink) ขึ้นกับ R_ds(on) × I²  |  ควรขนาน MOSFET 2 ตัว/ขาสำหรับ Rds สูง</t>
        </is>
      </c>
    </row>
  </sheetData>
  <mergeCells count="3">
    <mergeCell ref="A2:M2"/>
    <mergeCell ref="A14:M14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  <col width="10" customWidth="1" min="6" max="6"/>
    <col width="18" customWidth="1" min="7" max="7"/>
    <col width="14" customWidth="1" min="8" max="8"/>
    <col width="16" customWidth="1" min="9" max="9"/>
    <col width="12" customWidth="1" min="10" max="10"/>
    <col width="52" customWidth="1" min="11" max="11"/>
    <col width="32" customWidth="1" min="12" max="12"/>
  </cols>
  <sheetData>
    <row r="1" ht="30" customHeight="1">
      <c r="A1" s="1" t="inlineStr">
        <is>
          <t>🔌  Gate Driver Selection  |  48 V Inverter  |  หาซื้อได้ใน Shopee ไทย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5" t="n"/>
    </row>
    <row r="2" ht="6" customHeight="1">
      <c r="A2" s="11" t="inlineStr">
        <is>
          <t>★ = แนะนำ  |  ✔ = ใช้ได้  |  ใช้คู่กับ Bootstrap capacitor 100–470 nF สำหรับ High-side drive</t>
        </is>
      </c>
    </row>
    <row r="3" ht="36" customHeight="1">
      <c r="A3" s="3" t="inlineStr">
        <is>
          <t>Part Number</t>
        </is>
      </c>
      <c r="B3" s="3" t="inlineStr">
        <is>
          <t>Manufacturer</t>
        </is>
      </c>
      <c r="C3" s="3" t="inlineStr">
        <is>
          <t>ประเภท</t>
        </is>
      </c>
      <c r="D3" s="3" t="inlineStr">
        <is>
          <t>V_offset max (V)</t>
        </is>
      </c>
      <c r="E3" s="3" t="inlineStr">
        <is>
          <t>Source (A)</t>
        </is>
      </c>
      <c r="F3" s="3" t="inlineStr">
        <is>
          <t>Sink (A)</t>
        </is>
      </c>
      <c r="G3" s="3" t="inlineStr">
        <is>
          <t>Propagation Delay (ns)</t>
        </is>
      </c>
      <c r="H3" s="3" t="inlineStr">
        <is>
          <t>ราคา/ตัว (฿ est.)</t>
        </is>
      </c>
      <c r="I3" s="3" t="inlineStr">
        <is>
          <t>Isolation</t>
        </is>
      </c>
      <c r="J3" s="3" t="inlineStr">
        <is>
          <t>เลือกใช้</t>
        </is>
      </c>
      <c r="K3" s="3" t="inlineStr">
        <is>
          <t>หมายเหตุ / วิธีใช้</t>
        </is>
      </c>
      <c r="L3" s="3" t="inlineStr">
        <is>
          <t>ค้นหาใน Shopee</t>
        </is>
      </c>
    </row>
    <row r="4" ht="46" customHeight="1">
      <c r="A4" s="12" t="inlineStr">
        <is>
          <t>IR2110</t>
        </is>
      </c>
      <c r="B4" s="12" t="inlineStr">
        <is>
          <t>Infineon/IR</t>
        </is>
      </c>
      <c r="C4" s="12" t="inlineStr">
        <is>
          <t>Half-Bridge
(Hi+Lo side)</t>
        </is>
      </c>
      <c r="D4" s="12" t="n">
        <v>600</v>
      </c>
      <c r="E4" s="12" t="n">
        <v>2</v>
      </c>
      <c r="F4" s="12" t="n">
        <v>2</v>
      </c>
      <c r="G4" s="12" t="n">
        <v>120</v>
      </c>
      <c r="H4" s="12" t="inlineStr">
        <is>
          <t>30–60</t>
        </is>
      </c>
      <c r="I4" s="12" t="inlineStr">
        <is>
          <t>ไม่มี (Bootstrap)</t>
        </is>
      </c>
      <c r="J4" s="13" t="inlineStr">
        <is>
          <t>★ แนะนำ</t>
        </is>
      </c>
      <c r="K4" s="14" t="inlineStr">
        <is>
          <t>ยอดนิยมที่สุด ใช้ Bootstrap สำหรับ Hi-side ต้องการ cap 100nF ต่อ 1 ขา ใช้ 3 ชิป/3-phase</t>
        </is>
      </c>
      <c r="L4" s="12" t="inlineStr">
        <is>
          <t>IR2110 gate driver</t>
        </is>
      </c>
    </row>
    <row r="5" ht="46" customHeight="1">
      <c r="A5" s="12" t="inlineStr">
        <is>
          <t>IR2104</t>
        </is>
      </c>
      <c r="B5" s="12" t="inlineStr">
        <is>
          <t>Infineon/IR</t>
        </is>
      </c>
      <c r="C5" s="12" t="inlineStr">
        <is>
          <t>Half-Bridge
(Hi+Lo side)</t>
        </is>
      </c>
      <c r="D5" s="12" t="n">
        <v>600</v>
      </c>
      <c r="E5" s="12" t="n">
        <v>0.6</v>
      </c>
      <c r="F5" s="12" t="n">
        <v>0.6</v>
      </c>
      <c r="G5" s="12" t="n">
        <v>680</v>
      </c>
      <c r="H5" s="12" t="inlineStr">
        <is>
          <t>20–40</t>
        </is>
      </c>
      <c r="I5" s="12" t="inlineStr">
        <is>
          <t>ไม่มี (Bootstrap)</t>
        </is>
      </c>
      <c r="J5" s="13" t="inlineStr">
        <is>
          <t>★ แนะนำ</t>
        </is>
      </c>
      <c r="K5" s="14" t="inlineStr">
        <is>
          <t>มี SD pin ในตัว เล็กกว่า IR2110 กระแส drive น้อยกว่า เหมาะงบจำกัด/MOSFET Qg ต่ำ</t>
        </is>
      </c>
      <c r="L5" s="12" t="inlineStr">
        <is>
          <t>IR2104 gate driver</t>
        </is>
      </c>
    </row>
    <row r="6" ht="46" customHeight="1">
      <c r="A6" s="12" t="inlineStr">
        <is>
          <t>EG3013</t>
        </is>
      </c>
      <c r="B6" s="12" t="inlineStr">
        <is>
          <t>EG Semi (CN)</t>
        </is>
      </c>
      <c r="C6" s="12" t="inlineStr">
        <is>
          <t>Half-Bridge
(Hi+Lo side)</t>
        </is>
      </c>
      <c r="D6" s="12" t="n">
        <v>600</v>
      </c>
      <c r="E6" s="12" t="n">
        <v>1.5</v>
      </c>
      <c r="F6" s="12" t="n">
        <v>1.5</v>
      </c>
      <c r="G6" s="12" t="n">
        <v>150</v>
      </c>
      <c r="H6" s="12" t="inlineStr">
        <is>
          <t>10–25</t>
        </is>
      </c>
      <c r="I6" s="12" t="inlineStr">
        <is>
          <t>ไม่มี (Bootstrap)</t>
        </is>
      </c>
      <c r="J6" s="13" t="inlineStr">
        <is>
          <t>★ แนะนำ</t>
        </is>
      </c>
      <c r="K6" s="14" t="inlineStr">
        <is>
          <t>Clone IR2110 ราคาถูกมาก pinout เหมือนกัน หาง่ายมากใน Shopee คุณภาพดีสำหรับต้นแบบ</t>
        </is>
      </c>
      <c r="L6" s="12" t="inlineStr">
        <is>
          <t>EG3013 gate driver</t>
        </is>
      </c>
    </row>
    <row r="7" ht="46" customHeight="1">
      <c r="A7" s="15" t="inlineStr">
        <is>
          <t>IR2101</t>
        </is>
      </c>
      <c r="B7" s="15" t="inlineStr">
        <is>
          <t>Infineon/IR</t>
        </is>
      </c>
      <c r="C7" s="15" t="inlineStr">
        <is>
          <t>Half-Bridge
(Hi+Lo side)</t>
        </is>
      </c>
      <c r="D7" s="15" t="n">
        <v>600</v>
      </c>
      <c r="E7" s="15" t="n">
        <v>0.2</v>
      </c>
      <c r="F7" s="15" t="n">
        <v>0.2</v>
      </c>
      <c r="G7" s="15" t="n">
        <v>680</v>
      </c>
      <c r="H7" s="15" t="inlineStr">
        <is>
          <t>15–30</t>
        </is>
      </c>
      <c r="I7" s="15" t="inlineStr">
        <is>
          <t>ไม่มี (Bootstrap)</t>
        </is>
      </c>
      <c r="J7" s="16" t="inlineStr">
        <is>
          <t>✔ ใช้ได้</t>
        </is>
      </c>
      <c r="K7" s="17" t="inlineStr">
        <is>
          <t>กระแสต่ำมาก (200mA) ต้องเพิ่ม totem-pole transistor คู่ถ้า MOSFET Qg &gt; 50nC</t>
        </is>
      </c>
      <c r="L7" s="15" t="inlineStr">
        <is>
          <t>IR2101 gate driver</t>
        </is>
      </c>
    </row>
    <row r="8" ht="46" customHeight="1">
      <c r="A8" s="15" t="inlineStr">
        <is>
          <t>TLP250</t>
        </is>
      </c>
      <c r="B8" s="15" t="inlineStr">
        <is>
          <t>Toshiba</t>
        </is>
      </c>
      <c r="C8" s="15" t="inlineStr">
        <is>
          <t>Single channel
(Isolated)</t>
        </is>
      </c>
      <c r="D8" s="15" t="n">
        <v>35</v>
      </c>
      <c r="E8" s="15" t="n">
        <v>1.5</v>
      </c>
      <c r="F8" s="15" t="n">
        <v>1.5</v>
      </c>
      <c r="G8" s="15" t="n">
        <v>500</v>
      </c>
      <c r="H8" s="15" t="inlineStr">
        <is>
          <t>25–55</t>
        </is>
      </c>
      <c r="I8" s="15" t="inlineStr">
        <is>
          <t>Opto (2500V)</t>
        </is>
      </c>
      <c r="J8" s="16" t="inlineStr">
        <is>
          <t>✔ ใช้ได้</t>
        </is>
      </c>
      <c r="K8" s="17" t="inlineStr">
        <is>
          <t>Isolated ใช้ได้ทั้ง Hi/Lo side แต่ต้องใช้ไฟ isolated ต่อขา ราคาสูงกว่า ใช้ 6 ชิป</t>
        </is>
      </c>
      <c r="L8" s="15" t="inlineStr">
        <is>
          <t>TLP250 gate driver opto</t>
        </is>
      </c>
    </row>
    <row r="9" ht="46" customHeight="1">
      <c r="A9" s="15" t="inlineStr">
        <is>
          <t>TC4420</t>
        </is>
      </c>
      <c r="B9" s="15" t="inlineStr">
        <is>
          <t>Microchip</t>
        </is>
      </c>
      <c r="C9" s="15" t="inlineStr">
        <is>
          <t>Single Lo-side
Buffer</t>
        </is>
      </c>
      <c r="D9" s="15" t="n">
        <v>18</v>
      </c>
      <c r="E9" s="15" t="n">
        <v>6</v>
      </c>
      <c r="F9" s="15" t="n">
        <v>6</v>
      </c>
      <c r="G9" s="15" t="n">
        <v>45</v>
      </c>
      <c r="H9" s="15" t="inlineStr">
        <is>
          <t>40–80</t>
        </is>
      </c>
      <c r="I9" s="15" t="inlineStr">
        <is>
          <t>ไม่มี</t>
        </is>
      </c>
      <c r="J9" s="16" t="inlineStr">
        <is>
          <t>✔ ใช้ได้</t>
        </is>
      </c>
      <c r="K9" s="17" t="inlineStr">
        <is>
          <t>Low-side เท่านั้น กระแสสูง delay ต่ำ ใช้เป็น driver เสริมต่อจาก IR2110 เพื่อเพิ่ม กระแส</t>
        </is>
      </c>
      <c r="L9" s="15" t="inlineStr">
        <is>
          <t>TC4420 mosfet driver</t>
        </is>
      </c>
    </row>
    <row r="10" ht="46" customHeight="1">
      <c r="A10" s="15" t="inlineStr">
        <is>
          <t>HCPL3120</t>
        </is>
      </c>
      <c r="B10" s="15" t="inlineStr">
        <is>
          <t>Broadcom</t>
        </is>
      </c>
      <c r="C10" s="15" t="inlineStr">
        <is>
          <t>Single channel
(Isolated)</t>
        </is>
      </c>
      <c r="D10" s="15" t="n">
        <v>30</v>
      </c>
      <c r="E10" s="15" t="n">
        <v>2.5</v>
      </c>
      <c r="F10" s="15" t="n">
        <v>2.5</v>
      </c>
      <c r="G10" s="15" t="n">
        <v>500</v>
      </c>
      <c r="H10" s="15" t="inlineStr">
        <is>
          <t>40–80</t>
        </is>
      </c>
      <c r="I10" s="15" t="inlineStr">
        <is>
          <t>Opto (1414V)</t>
        </is>
      </c>
      <c r="J10" s="16" t="inlineStr">
        <is>
          <t>✔ ใช้ได้</t>
        </is>
      </c>
      <c r="K10" s="17" t="inlineStr">
        <is>
          <t>Isolated กระแสสูงกว่า TLP250 เหมาะงานที่ต้องการ isolation สูง ต้องการไฟแยก/ขา</t>
        </is>
      </c>
      <c r="L10" s="15" t="inlineStr">
        <is>
          <t>HCPL3120 HCPL-3120 gate driver</t>
        </is>
      </c>
    </row>
    <row r="11" ht="46" customHeight="1">
      <c r="A11" s="15" t="inlineStr">
        <is>
          <t>DRV8302</t>
        </is>
      </c>
      <c r="B11" s="15" t="inlineStr">
        <is>
          <t>TI</t>
        </is>
      </c>
      <c r="C11" s="15" t="inlineStr">
        <is>
          <t>3-Phase
Integrated</t>
        </is>
      </c>
      <c r="D11" s="15" t="n">
        <v>60</v>
      </c>
      <c r="E11" s="15" t="n">
        <v>1.7</v>
      </c>
      <c r="F11" s="15" t="n">
        <v>2.3</v>
      </c>
      <c r="G11" s="15" t="n">
        <v>200</v>
      </c>
      <c r="H11" s="15" t="inlineStr">
        <is>
          <t>150–300</t>
        </is>
      </c>
      <c r="I11" s="15" t="inlineStr">
        <is>
          <t>ไม่มี</t>
        </is>
      </c>
      <c r="J11" s="16" t="inlineStr">
        <is>
          <t>✔ ใช้ได้</t>
        </is>
      </c>
      <c r="K11" s="17" t="inlineStr">
        <is>
          <t>ไดร์ฟ 3 เฟสในชิปเดียว มี Current sensing OCP ในตัว แต่ราคาสูง หายากใน Shopee</t>
        </is>
      </c>
      <c r="L11" s="15" t="inlineStr">
        <is>
          <t>DRV8302 gate driver</t>
        </is>
      </c>
    </row>
    <row r="13">
      <c r="A13" s="21" t="inlineStr">
        <is>
          <t>📌  สำหรับ 3-phase inverter: ใช้ IR2110/EG3013 จำนวน 3 ชิป (1 ชิป/เฟส)  |  Bootstrap cap แนะนำ 100–470 nF/ขา (ทนแรงดัน ≥100V)  |  Gate resistor 10–22 Ω ลด EMI และ ringing</t>
        </is>
      </c>
    </row>
  </sheetData>
  <mergeCells count="3">
    <mergeCell ref="A13:L1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8" customWidth="1" min="4" max="4"/>
    <col width="18" customWidth="1" min="5" max="5"/>
    <col width="12" customWidth="1" min="6" max="6"/>
    <col width="42" customWidth="1" min="7" max="7"/>
    <col width="30" customWidth="1" min="8" max="8"/>
  </cols>
  <sheetData>
    <row r="1" ht="30" customHeight="1">
      <c r="A1" s="1" t="inlineStr">
        <is>
          <t>📋  BOM – ชุดแนะนำสำหรับ Inverter 3-Phase 48V / 500W</t>
        </is>
      </c>
      <c r="B1" s="34" t="n"/>
      <c r="C1" s="34" t="n"/>
      <c r="D1" s="34" t="n"/>
      <c r="E1" s="34" t="n"/>
      <c r="F1" s="34" t="n"/>
      <c r="G1" s="34" t="n"/>
      <c r="H1" s="35" t="n"/>
    </row>
    <row r="2" ht="6" customHeight="1"/>
    <row r="3" ht="30" customHeight="1">
      <c r="A3" s="3" t="inlineStr">
        <is>
          <t>#</t>
        </is>
      </c>
      <c r="B3" s="3" t="inlineStr">
        <is>
          <t>รายการ</t>
        </is>
      </c>
      <c r="C3" s="3" t="inlineStr">
        <is>
          <t>Part Number</t>
        </is>
      </c>
      <c r="D3" s="3" t="inlineStr">
        <is>
          <t>Qty</t>
        </is>
      </c>
      <c r="E3" s="3" t="inlineStr">
        <is>
          <t>ราคา/หน่วย (฿ est.)</t>
        </is>
      </c>
      <c r="F3" s="3" t="inlineStr">
        <is>
          <t>รวม (฿)</t>
        </is>
      </c>
      <c r="G3" s="3" t="inlineStr">
        <is>
          <t>หมายเหตุ</t>
        </is>
      </c>
      <c r="H3" s="3" t="inlineStr">
        <is>
          <t>ค้นหาใน Shopee</t>
        </is>
      </c>
    </row>
    <row r="4" ht="28" customHeight="1">
      <c r="A4" s="22" t="n">
        <v>1</v>
      </c>
      <c r="B4" s="23" t="inlineStr">
        <is>
          <t>MOSFET – Power Switch</t>
        </is>
      </c>
      <c r="C4" s="22" t="inlineStr">
        <is>
          <t>IRFB4110</t>
        </is>
      </c>
      <c r="D4" s="22" t="n">
        <v>6</v>
      </c>
      <c r="E4" s="24" t="n">
        <v>60</v>
      </c>
      <c r="F4" s="24">
        <f>D4*E4</f>
        <v/>
      </c>
      <c r="G4" s="23" t="inlineStr">
        <is>
          <t>6 ตัว สำหรับ 3-phase H-bridge TO-220</t>
        </is>
      </c>
      <c r="H4" s="22" t="inlineStr">
        <is>
          <t>IRFB4110</t>
        </is>
      </c>
    </row>
    <row r="5" ht="28" customHeight="1">
      <c r="A5" s="5" t="n">
        <v>2</v>
      </c>
      <c r="B5" s="4" t="inlineStr">
        <is>
          <t>Gate Driver IC</t>
        </is>
      </c>
      <c r="C5" s="5" t="inlineStr">
        <is>
          <t>EG3013</t>
        </is>
      </c>
      <c r="D5" s="5" t="n">
        <v>3</v>
      </c>
      <c r="E5" s="25" t="n">
        <v>20</v>
      </c>
      <c r="F5" s="25">
        <f>D5*E5</f>
        <v/>
      </c>
      <c r="G5" s="4" t="inlineStr">
        <is>
          <t>1 ชิปต่อ 1 เฟส (Hi+Lo side)</t>
        </is>
      </c>
      <c r="H5" s="5" t="inlineStr">
        <is>
          <t>EG3013 gate driver</t>
        </is>
      </c>
    </row>
    <row r="6" ht="28" customHeight="1">
      <c r="A6" s="22" t="n">
        <v>3</v>
      </c>
      <c r="B6" s="23" t="inlineStr">
        <is>
          <t>Bootstrap Capacitor</t>
        </is>
      </c>
      <c r="C6" s="22" t="inlineStr">
        <is>
          <t>100nF 100V</t>
        </is>
      </c>
      <c r="D6" s="22" t="n">
        <v>6</v>
      </c>
      <c r="E6" s="24" t="n">
        <v>2</v>
      </c>
      <c r="F6" s="24">
        <f>D6*E6</f>
        <v/>
      </c>
      <c r="G6" s="23" t="inlineStr">
        <is>
          <t>1 ตัวต่อ Hi-side ทนแรงดัน ≥100V</t>
        </is>
      </c>
      <c r="H6" s="22" t="inlineStr">
        <is>
          <t>capacitor 100nF 100V</t>
        </is>
      </c>
    </row>
    <row r="7" ht="28" customHeight="1">
      <c r="A7" s="5" t="n">
        <v>4</v>
      </c>
      <c r="B7" s="4" t="inlineStr">
        <is>
          <t>Bootstrap Diode</t>
        </is>
      </c>
      <c r="C7" s="5" t="inlineStr">
        <is>
          <t>UF4007</t>
        </is>
      </c>
      <c r="D7" s="5" t="n">
        <v>3</v>
      </c>
      <c r="E7" s="25" t="n">
        <v>5</v>
      </c>
      <c r="F7" s="25">
        <f>D7*E7</f>
        <v/>
      </c>
      <c r="G7" s="4" t="inlineStr">
        <is>
          <t>Fast recovery 1A/1000V ต่อ Hi-side</t>
        </is>
      </c>
      <c r="H7" s="5" t="inlineStr">
        <is>
          <t>UF4007 diode</t>
        </is>
      </c>
    </row>
    <row r="8" ht="28" customHeight="1">
      <c r="A8" s="22" t="n">
        <v>5</v>
      </c>
      <c r="B8" s="23" t="inlineStr">
        <is>
          <t>Gate Resistor (Hi-side)</t>
        </is>
      </c>
      <c r="C8" s="22" t="inlineStr">
        <is>
          <t>10Ω 0.5W</t>
        </is>
      </c>
      <c r="D8" s="22" t="n">
        <v>6</v>
      </c>
      <c r="E8" s="24" t="n">
        <v>1</v>
      </c>
      <c r="F8" s="24">
        <f>D8*E8</f>
        <v/>
      </c>
      <c r="G8" s="23" t="inlineStr">
        <is>
          <t>จำกัดกระแส gate ลด ringing</t>
        </is>
      </c>
      <c r="H8" s="22" t="inlineStr">
        <is>
          <t>resistor 10 ohm</t>
        </is>
      </c>
    </row>
    <row r="9" ht="28" customHeight="1">
      <c r="A9" s="5" t="n">
        <v>6</v>
      </c>
      <c r="B9" s="4" t="inlineStr">
        <is>
          <t>Gate Resistor (Lo-side)</t>
        </is>
      </c>
      <c r="C9" s="5" t="inlineStr">
        <is>
          <t>10Ω 0.5W</t>
        </is>
      </c>
      <c r="D9" s="5" t="n">
        <v>6</v>
      </c>
      <c r="E9" s="25" t="n">
        <v>1</v>
      </c>
      <c r="F9" s="25">
        <f>D9*E9</f>
        <v/>
      </c>
      <c r="G9" s="4" t="inlineStr">
        <is>
          <t>จำกัดกระแส gate ลด ringing</t>
        </is>
      </c>
      <c r="H9" s="5" t="inlineStr">
        <is>
          <t>resistor 10 ohm</t>
        </is>
      </c>
    </row>
    <row r="10" ht="28" customHeight="1">
      <c r="A10" s="22" t="n">
        <v>7</v>
      </c>
      <c r="B10" s="23" t="inlineStr">
        <is>
          <t>Gate Pull-down Resistor</t>
        </is>
      </c>
      <c r="C10" s="22" t="inlineStr">
        <is>
          <t>10kΩ 0.25W</t>
        </is>
      </c>
      <c r="D10" s="22" t="n">
        <v>6</v>
      </c>
      <c r="E10" s="24" t="n">
        <v>1</v>
      </c>
      <c r="F10" s="24">
        <f>D10*E10</f>
        <v/>
      </c>
      <c r="G10" s="23" t="inlineStr">
        <is>
          <t>ดึง gate ลด float เมื่อ driver ไม่ active</t>
        </is>
      </c>
      <c r="H10" s="22" t="inlineStr">
        <is>
          <t>resistor 10k ohm</t>
        </is>
      </c>
    </row>
    <row r="11" ht="28" customHeight="1">
      <c r="A11" s="5" t="n">
        <v>8</v>
      </c>
      <c r="B11" s="4" t="inlineStr">
        <is>
          <t>Decoupling Cap (driver VCC)</t>
        </is>
      </c>
      <c r="C11" s="5" t="inlineStr">
        <is>
          <t>100nF 25V</t>
        </is>
      </c>
      <c r="D11" s="5" t="n">
        <v>3</v>
      </c>
      <c r="E11" s="25" t="n">
        <v>2</v>
      </c>
      <c r="F11" s="25">
        <f>D11*E11</f>
        <v/>
      </c>
      <c r="G11" s="4" t="inlineStr">
        <is>
          <t>ต่อใกล้ขา VCC ของ IC</t>
        </is>
      </c>
      <c r="H11" s="5" t="inlineStr">
        <is>
          <t>capacitor 100nF</t>
        </is>
      </c>
    </row>
    <row r="12" ht="28" customHeight="1">
      <c r="A12" s="22" t="n">
        <v>9</v>
      </c>
      <c r="B12" s="23" t="inlineStr">
        <is>
          <t>Heatsink (MOSFET)</t>
        </is>
      </c>
      <c r="C12" s="22" t="inlineStr">
        <is>
          <t>TO-220 fin</t>
        </is>
      </c>
      <c r="D12" s="22" t="n">
        <v>6</v>
      </c>
      <c r="E12" s="24" t="n">
        <v>20</v>
      </c>
      <c r="F12" s="24">
        <f>D12*E12</f>
        <v/>
      </c>
      <c r="G12" s="23" t="inlineStr">
        <is>
          <t>Rth ≤ 5 °C/W สำหรับ dissipation ~3W/ตัว</t>
        </is>
      </c>
      <c r="H12" s="22" t="inlineStr">
        <is>
          <t>heatsink TO-220</t>
        </is>
      </c>
    </row>
    <row r="13" ht="15" customHeight="1">
      <c r="A13" s="41" t="n">
        <v>10</v>
      </c>
      <c r="B13" s="41" t="inlineStr">
        <is>
          <t>Gate Protection Zener</t>
        </is>
      </c>
      <c r="C13" s="41" t="inlineStr">
        <is>
          <t>1N4746A (18V 1W)</t>
        </is>
      </c>
      <c r="D13" s="41" t="n">
        <v>6</v>
      </c>
      <c r="E13" s="41" t="n">
        <v>3</v>
      </c>
      <c r="F13" s="41">
        <f>D13*E13</f>
        <v/>
      </c>
      <c r="G13" s="37" t="inlineStr">
        <is>
          <t>Clamp Vgs ≤ 18V ต่อ Gate–Source ทุก MOSFET DO-41</t>
        </is>
      </c>
      <c r="H13" s="41" t="inlineStr">
        <is>
          <t>1N4746A zener 18V</t>
        </is>
      </c>
    </row>
    <row r="14" ht="18" customHeight="1">
      <c r="A14" s="38" t="inlineStr">
        <is>
          <t>⚡  Power Supply — Gate Driver VCC (48V → 12V)  |  LM2576HVT-12</t>
        </is>
      </c>
    </row>
    <row r="15" ht="15" customHeight="1">
      <c r="A15" s="39" t="n">
        <v>11</v>
      </c>
      <c r="B15" s="39" t="inlineStr">
        <is>
          <t>Buck Regulator 48V→12V</t>
        </is>
      </c>
      <c r="C15" s="39" t="inlineStr">
        <is>
          <t>LM2576HVT-12</t>
        </is>
      </c>
      <c r="D15" s="39" t="n">
        <v>1</v>
      </c>
      <c r="E15" s="39" t="n">
        <v>60</v>
      </c>
      <c r="F15" s="39">
        <f>D15*E15</f>
        <v/>
      </c>
      <c r="G15" s="40" t="inlineStr">
        <is>
          <t>3A Step-Down ทน 60V สำหรับ Gate Driver VCC</t>
        </is>
      </c>
      <c r="H15" s="39" t="inlineStr">
        <is>
          <t>LM2576HVT-12</t>
        </is>
      </c>
    </row>
    <row r="16" ht="15" customHeight="1">
      <c r="A16" s="39" t="n">
        <v>12</v>
      </c>
      <c r="B16" s="39" t="inlineStr">
        <is>
          <t>Inductor L1 (48V→12V)</t>
        </is>
      </c>
      <c r="C16" s="39" t="inlineStr">
        <is>
          <t>100µH 3A Ferrite</t>
        </is>
      </c>
      <c r="D16" s="39" t="n">
        <v>1</v>
      </c>
      <c r="E16" s="39" t="n">
        <v>35</v>
      </c>
      <c r="F16" s="39">
        <f>D16*E16</f>
        <v/>
      </c>
      <c r="G16" s="40" t="inlineStr">
        <is>
          <t>อิ่มตัว ≥ 3A แกน ferrite</t>
        </is>
      </c>
      <c r="H16" s="39" t="inlineStr">
        <is>
          <t>inductor 100uH 3A</t>
        </is>
      </c>
    </row>
    <row r="17" ht="15" customHeight="1">
      <c r="A17" s="39" t="n">
        <v>13</v>
      </c>
      <c r="B17" s="39" t="inlineStr">
        <is>
          <t>Catch Diode D1 (48V→12V)</t>
        </is>
      </c>
      <c r="C17" s="39" t="inlineStr">
        <is>
          <t>1N5822 Schottky 3A</t>
        </is>
      </c>
      <c r="D17" s="39" t="n">
        <v>1</v>
      </c>
      <c r="E17" s="39" t="n">
        <v>8</v>
      </c>
      <c r="F17" s="39">
        <f>D17*E17</f>
        <v/>
      </c>
      <c r="G17" s="40" t="inlineStr">
        <is>
          <t>Schottky 3A/40V fast recovery</t>
        </is>
      </c>
      <c r="H17" s="39" t="inlineStr">
        <is>
          <t>1N5822 Schottky</t>
        </is>
      </c>
    </row>
    <row r="18" ht="15" customHeight="1">
      <c r="A18" s="39" t="n">
        <v>14</v>
      </c>
      <c r="B18" s="39" t="inlineStr">
        <is>
          <t>Input Cap Cin1 (48V→12V)</t>
        </is>
      </c>
      <c r="C18" s="39" t="inlineStr">
        <is>
          <t>100µF 63V Electrolytic</t>
        </is>
      </c>
      <c r="D18" s="39" t="n">
        <v>1</v>
      </c>
      <c r="E18" s="39" t="n">
        <v>12</v>
      </c>
      <c r="F18" s="39">
        <f>D18*E18</f>
        <v/>
      </c>
      <c r="G18" s="40" t="inlineStr">
        <is>
          <t>ทนแรงดัน ≥ 63V ต่อขา Vin LM2576HVT</t>
        </is>
      </c>
      <c r="H18" s="39" t="inlineStr">
        <is>
          <t>capacitor 100uF 63V</t>
        </is>
      </c>
    </row>
    <row r="19" ht="15" customHeight="1">
      <c r="A19" s="39" t="n">
        <v>15</v>
      </c>
      <c r="B19" s="39" t="inlineStr">
        <is>
          <t>Output Cap Cout1 (48V→12V)</t>
        </is>
      </c>
      <c r="C19" s="39" t="inlineStr">
        <is>
          <t>100µF 25V Electrolytic</t>
        </is>
      </c>
      <c r="D19" s="39" t="n">
        <v>1</v>
      </c>
      <c r="E19" s="39" t="n">
        <v>8</v>
      </c>
      <c r="F19" s="39">
        <f>D19*E19</f>
        <v/>
      </c>
      <c r="G19" s="40" t="inlineStr">
        <is>
          <t>Output filter ต่อขา Output</t>
        </is>
      </c>
      <c r="H19" s="39" t="inlineStr">
        <is>
          <t>capacitor 100uF 25V</t>
        </is>
      </c>
    </row>
    <row r="20" ht="18" customHeight="1">
      <c r="A20" s="38" t="inlineStr">
        <is>
          <t>⚡  Power Supply — MCU/ESP32 Supply (12V → 5V)  |  LM2576T-5.0</t>
        </is>
      </c>
    </row>
    <row r="21" ht="15" customHeight="1">
      <c r="A21" s="39" t="n">
        <v>16</v>
      </c>
      <c r="B21" s="39" t="inlineStr">
        <is>
          <t>Buck Regulator 12V→5V</t>
        </is>
      </c>
      <c r="C21" s="39" t="inlineStr">
        <is>
          <t>LM2576T-5.0</t>
        </is>
      </c>
      <c r="D21" s="39" t="n">
        <v>1</v>
      </c>
      <c r="E21" s="39" t="n">
        <v>40</v>
      </c>
      <c r="F21" s="39">
        <f>D21*E21</f>
        <v/>
      </c>
      <c r="G21" s="40" t="inlineStr">
        <is>
          <t>3A Step-Down Fixed 5V สำหรับ ESP32</t>
        </is>
      </c>
      <c r="H21" s="39" t="inlineStr">
        <is>
          <t>LM2576T-5.0</t>
        </is>
      </c>
    </row>
    <row r="22" ht="15" customHeight="1">
      <c r="A22" s="39" t="n">
        <v>17</v>
      </c>
      <c r="B22" s="39" t="inlineStr">
        <is>
          <t>Inductor L2 (12V→5V)</t>
        </is>
      </c>
      <c r="C22" s="39" t="inlineStr">
        <is>
          <t>100µH 3A Ferrite</t>
        </is>
      </c>
      <c r="D22" s="39" t="n">
        <v>1</v>
      </c>
      <c r="E22" s="39" t="n">
        <v>35</v>
      </c>
      <c r="F22" s="39">
        <f>D22*E22</f>
        <v/>
      </c>
      <c r="G22" s="40" t="inlineStr">
        <is>
          <t>ใช้เบอร์เดียวกับ L1 ได้เลย</t>
        </is>
      </c>
      <c r="H22" s="39" t="inlineStr">
        <is>
          <t>inductor 100uH 3A</t>
        </is>
      </c>
    </row>
    <row r="23" ht="15" customHeight="1">
      <c r="A23" s="39" t="n">
        <v>18</v>
      </c>
      <c r="B23" s="39" t="inlineStr">
        <is>
          <t>Catch Diode D2 (12V→5V)</t>
        </is>
      </c>
      <c r="C23" s="39" t="inlineStr">
        <is>
          <t>1N5822 Schottky 3A</t>
        </is>
      </c>
      <c r="D23" s="39" t="n">
        <v>1</v>
      </c>
      <c r="E23" s="39" t="n">
        <v>8</v>
      </c>
      <c r="F23" s="39">
        <f>D23*E23</f>
        <v/>
      </c>
      <c r="G23" s="40" t="inlineStr">
        <is>
          <t>Schottky 3A/40V เหมือน D1</t>
        </is>
      </c>
      <c r="H23" s="39" t="inlineStr">
        <is>
          <t>1N5822 Schottky</t>
        </is>
      </c>
    </row>
    <row r="24" ht="15" customHeight="1">
      <c r="A24" s="39" t="n">
        <v>19</v>
      </c>
      <c r="B24" s="39" t="inlineStr">
        <is>
          <t>Input Cap Cin2 (12V→5V)</t>
        </is>
      </c>
      <c r="C24" s="39" t="inlineStr">
        <is>
          <t>100µF 25V Electrolytic</t>
        </is>
      </c>
      <c r="D24" s="39" t="n">
        <v>1</v>
      </c>
      <c r="E24" s="39" t="n">
        <v>8</v>
      </c>
      <c r="F24" s="39">
        <f>D24*E24</f>
        <v/>
      </c>
      <c r="G24" s="40" t="inlineStr">
        <is>
          <t>ต่อขา Vin LM2576T-5.0</t>
        </is>
      </c>
      <c r="H24" s="39" t="inlineStr">
        <is>
          <t>capacitor 100uF 25V</t>
        </is>
      </c>
    </row>
    <row r="25" ht="15" customHeight="1">
      <c r="A25" s="39" t="n">
        <v>20</v>
      </c>
      <c r="B25" s="39" t="inlineStr">
        <is>
          <t>Output Cap Cout2 (12V→5V)</t>
        </is>
      </c>
      <c r="C25" s="39" t="inlineStr">
        <is>
          <t>100µF 10V Electrolytic</t>
        </is>
      </c>
      <c r="D25" s="39" t="n">
        <v>1</v>
      </c>
      <c r="E25" s="39" t="n">
        <v>5</v>
      </c>
      <c r="F25" s="39">
        <f>D25*E25</f>
        <v/>
      </c>
      <c r="G25" s="40" t="inlineStr">
        <is>
          <t>Output filter สำหรับ ESP32 supply</t>
        </is>
      </c>
      <c r="H25" s="39" t="inlineStr">
        <is>
          <t>capacitor 100uF 10V</t>
        </is>
      </c>
    </row>
    <row r="26">
      <c r="A26" s="26" t="inlineStr">
        <is>
          <t>ประมาณการรวม (฿)</t>
        </is>
      </c>
      <c r="B26" s="30" t="n"/>
      <c r="C26" s="30" t="n"/>
      <c r="D26" s="30" t="n"/>
      <c r="E26" s="31" t="n"/>
      <c r="F26" s="27">
        <f>SUM(F4:F25)</f>
        <v/>
      </c>
      <c r="G26" s="28" t="inlineStr"/>
      <c r="H26" s="28" t="inlineStr"/>
    </row>
  </sheetData>
  <mergeCells count="3">
    <mergeCell ref="A20:H20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20" customWidth="1" min="3" max="3"/>
    <col width="20" customWidth="1" min="4" max="4"/>
  </cols>
  <sheetData>
    <row r="1" ht="30" customHeight="1">
      <c r="A1" s="1" t="inlineStr">
        <is>
          <t>📐  Gate Drive Circuit – คำอธิบายวงจรและการต่อ (IR2110 / EG3013)</t>
        </is>
      </c>
      <c r="B1" s="34" t="n"/>
      <c r="C1" s="34" t="n"/>
      <c r="D1" s="35" t="n"/>
    </row>
    <row r="3" ht="20" customHeight="1">
      <c r="A3" s="29" t="inlineStr"/>
      <c r="B3" s="4" t="inlineStr"/>
      <c r="C3" s="30" t="n"/>
      <c r="D3" s="31" t="n"/>
    </row>
    <row r="4" ht="20" customHeight="1">
      <c r="A4" s="32" t="inlineStr">
        <is>
          <t>─── POWER SUPPLY ───</t>
        </is>
      </c>
      <c r="B4" s="30" t="n"/>
      <c r="C4" s="30" t="n"/>
      <c r="D4" s="31" t="n"/>
    </row>
    <row r="5" ht="20" customHeight="1">
      <c r="A5" s="29" t="inlineStr">
        <is>
          <t>VDD (IC logic)</t>
        </is>
      </c>
      <c r="B5" s="4" t="inlineStr">
        <is>
          <t>5V หรือ 3.3V จาก MCU supply</t>
        </is>
      </c>
      <c r="C5" s="30" t="n"/>
      <c r="D5" s="31" t="n"/>
    </row>
    <row r="6" ht="20" customHeight="1">
      <c r="A6" s="33" t="inlineStr">
        <is>
          <t>VCC (driver)</t>
        </is>
      </c>
      <c r="B6" s="8" t="inlineStr">
        <is>
          <t>12–15 V สำหรับ drive MOSFET gate (แยกจาก 48V bus)</t>
        </is>
      </c>
      <c r="C6" s="30" t="n"/>
      <c r="D6" s="31" t="n"/>
    </row>
    <row r="7" ht="20" customHeight="1">
      <c r="A7" s="29" t="inlineStr">
        <is>
          <t>COM</t>
        </is>
      </c>
      <c r="B7" s="4" t="inlineStr">
        <is>
          <t>GND ร่วมของ Low-side และ MCU</t>
        </is>
      </c>
      <c r="C7" s="30" t="n"/>
      <c r="D7" s="31" t="n"/>
    </row>
    <row r="8" ht="20" customHeight="1">
      <c r="A8" s="33" t="inlineStr"/>
      <c r="B8" s="8" t="inlineStr"/>
      <c r="C8" s="30" t="n"/>
      <c r="D8" s="31" t="n"/>
    </row>
    <row r="9" ht="20" customHeight="1">
      <c r="A9" s="32" t="inlineStr">
        <is>
          <t>─── BOOTSTRAP CIRCUIT (Hi-side) ───</t>
        </is>
      </c>
      <c r="B9" s="30" t="n"/>
      <c r="C9" s="30" t="n"/>
      <c r="D9" s="31" t="n"/>
    </row>
    <row r="10" ht="20" customHeight="1">
      <c r="A10" s="33" t="inlineStr">
        <is>
          <t>VB</t>
        </is>
      </c>
      <c r="B10" s="8" t="inlineStr">
        <is>
          <t>Bootstrap voltage = VCC + VS (floating, ตาม source Hi-side MOSFET)</t>
        </is>
      </c>
      <c r="C10" s="30" t="n"/>
      <c r="D10" s="31" t="n"/>
    </row>
    <row r="11" ht="20" customHeight="1">
      <c r="A11" s="29" t="inlineStr">
        <is>
          <t>VS</t>
        </is>
      </c>
      <c r="B11" s="4" t="inlineStr">
        <is>
          <t>ต่อกับ Source ของ Hi-side MOSFET (switching node)</t>
        </is>
      </c>
      <c r="C11" s="30" t="n"/>
      <c r="D11" s="31" t="n"/>
    </row>
    <row r="12" ht="20" customHeight="1">
      <c r="A12" s="33" t="inlineStr">
        <is>
          <t>Bootstrap diode (D_boot)</t>
        </is>
      </c>
      <c r="B12" s="8" t="inlineStr">
        <is>
          <t>UF4007 ต่อจาก VCC → VB ผ่าน diode (cathode→VB, anode→VCC)</t>
        </is>
      </c>
      <c r="C12" s="30" t="n"/>
      <c r="D12" s="31" t="n"/>
    </row>
    <row r="13" ht="20" customHeight="1">
      <c r="A13" s="29" t="inlineStr">
        <is>
          <t>Bootstrap cap (C_boot)</t>
        </is>
      </c>
      <c r="B13" s="4" t="inlineStr">
        <is>
          <t>100–470 nF ต่อระหว่าง VB–VS (ทนแรงดัน ≥ V_bus + VCC = 60V → ใช้ 100V)</t>
        </is>
      </c>
      <c r="C13" s="30" t="n"/>
      <c r="D13" s="31" t="n"/>
    </row>
    <row r="14" ht="20" customHeight="1">
      <c r="A14" s="33" t="inlineStr"/>
      <c r="B14" s="8" t="inlineStr"/>
      <c r="C14" s="30" t="n"/>
      <c r="D14" s="31" t="n"/>
    </row>
    <row r="15" ht="20" customHeight="1">
      <c r="A15" s="32" t="inlineStr">
        <is>
          <t>─── GATE RESISTORS ───</t>
        </is>
      </c>
      <c r="B15" s="30" t="n"/>
      <c r="C15" s="30" t="n"/>
      <c r="D15" s="31" t="n"/>
    </row>
    <row r="16" ht="20" customHeight="1">
      <c r="A16" s="33" t="inlineStr">
        <is>
          <t>R_g_on  (10Ω)</t>
        </is>
      </c>
      <c r="B16" s="8" t="inlineStr">
        <is>
          <t>ต่ออนุกรมระหว่าง HO/LO output กับ Gate MOSFET → ชะลอ turn-on ลด di/dt</t>
        </is>
      </c>
      <c r="C16" s="30" t="n"/>
      <c r="D16" s="31" t="n"/>
    </row>
    <row r="17" ht="20" customHeight="1">
      <c r="A17" s="29" t="inlineStr">
        <is>
          <t>R_g_off (0Ω–10Ω)</t>
        </is>
      </c>
      <c r="B17" s="4" t="inlineStr">
        <is>
          <t>บางวงจรแยก R สำหรับ turn-off เพื่อ trade-off ระหว่าง loss กับ EMI</t>
        </is>
      </c>
      <c r="C17" s="30" t="n"/>
      <c r="D17" s="31" t="n"/>
    </row>
    <row r="18" ht="20" customHeight="1">
      <c r="A18" s="33" t="inlineStr">
        <is>
          <t>R_gs   (10kΩ)</t>
        </is>
      </c>
      <c r="B18" s="8" t="inlineStr">
        <is>
          <t>ต่อระหว่าง Gate–Source ของ MOSFET → ป้องกัน gate float เมื่อ driver ไม่ active</t>
        </is>
      </c>
      <c r="C18" s="30" t="n"/>
      <c r="D18" s="31" t="n"/>
    </row>
    <row r="19" ht="20" customHeight="1">
      <c r="A19" s="29" t="inlineStr"/>
      <c r="B19" s="4" t="inlineStr"/>
      <c r="C19" s="30" t="n"/>
      <c r="D19" s="31" t="n"/>
    </row>
    <row r="20" ht="20" customHeight="1">
      <c r="A20" s="32" t="inlineStr">
        <is>
          <t>─── DEAD TIME ───</t>
        </is>
      </c>
      <c r="B20" s="30" t="n"/>
      <c r="C20" s="30" t="n"/>
      <c r="D20" s="31" t="n"/>
    </row>
    <row r="21" ht="20" customHeight="1">
      <c r="A21" s="29" t="inlineStr">
        <is>
          <t>ตั้ง Dead Time</t>
        </is>
      </c>
      <c r="B21" s="4" t="inlineStr">
        <is>
          <t>500 ns จาก MCU firmware หรือ Timer register (ห้าม HI+LO=ON พร้อมกัน)</t>
        </is>
      </c>
      <c r="C21" s="30" t="n"/>
      <c r="D21" s="31" t="n"/>
    </row>
    <row r="22" ht="20" customHeight="1">
      <c r="A22" s="33" t="inlineStr"/>
      <c r="B22" s="8" t="inlineStr"/>
      <c r="C22" s="30" t="n"/>
      <c r="D22" s="31" t="n"/>
    </row>
    <row r="23" ht="20" customHeight="1">
      <c r="A23" s="32" t="inlineStr">
        <is>
          <t>─── DECOUPLING ───</t>
        </is>
      </c>
      <c r="B23" s="30" t="n"/>
      <c r="C23" s="30" t="n"/>
      <c r="D23" s="31" t="n"/>
    </row>
    <row r="24" ht="20" customHeight="1">
      <c r="A24" s="33" t="inlineStr">
        <is>
          <t>C_vcc (100nF + 10µF)</t>
        </is>
      </c>
      <c r="B24" s="8" t="inlineStr">
        <is>
          <t>ต่อใกล้ขา VCC-COM ของ IC ทุกตัว ป้องกัน voltage dip ตอน switching</t>
        </is>
      </c>
      <c r="C24" s="30" t="n"/>
      <c r="D24" s="31" t="n"/>
    </row>
    <row r="25" ht="20" customHeight="1">
      <c r="A25" s="29" t="inlineStr"/>
      <c r="B25" s="4" t="inlineStr"/>
      <c r="C25" s="30" t="n"/>
      <c r="D25" s="31" t="n"/>
    </row>
    <row r="26" ht="20" customHeight="1">
      <c r="A26" s="32" t="inlineStr">
        <is>
          <t>─── INPUT SIGNALS ───</t>
        </is>
      </c>
      <c r="B26" s="30" t="n"/>
      <c r="C26" s="30" t="n"/>
      <c r="D26" s="31" t="n"/>
    </row>
    <row r="27" ht="20" customHeight="1">
      <c r="A27" s="29" t="inlineStr">
        <is>
          <t>HIN</t>
        </is>
      </c>
      <c r="B27" s="4" t="inlineStr">
        <is>
          <t>High-side input จาก MCU PWM (active HIGH)</t>
        </is>
      </c>
      <c r="C27" s="30" t="n"/>
      <c r="D27" s="31" t="n"/>
    </row>
    <row r="28" ht="20" customHeight="1">
      <c r="A28" s="33" t="inlineStr">
        <is>
          <t>LIN</t>
        </is>
      </c>
      <c r="B28" s="8" t="inlineStr">
        <is>
          <t>Low-side input จาก MCU PWM (active HIGH)</t>
        </is>
      </c>
      <c r="C28" s="30" t="n"/>
      <c r="D28" s="31" t="n"/>
    </row>
    <row r="29" ht="20" customHeight="1">
      <c r="A29" s="29" t="inlineStr">
        <is>
          <t>SD</t>
        </is>
      </c>
      <c r="B29" s="4" t="inlineStr">
        <is>
          <t>Shutdown (IR2104/IR2112) → active LOW หรือ HIGH ขึ้นกับรุ่น อ่าน datasheet</t>
        </is>
      </c>
      <c r="C29" s="30" t="n"/>
      <c r="D29" s="31" t="n"/>
    </row>
    <row r="30" ht="20" customHeight="1">
      <c r="A30" s="33" t="inlineStr"/>
      <c r="B30" s="8" t="inlineStr"/>
      <c r="C30" s="30" t="n"/>
      <c r="D30" s="31" t="n"/>
    </row>
    <row r="31" ht="20" customHeight="1">
      <c r="A31" s="32" t="inlineStr">
        <is>
          <t>─── THERMAL ───</t>
        </is>
      </c>
      <c r="B31" s="30" t="n"/>
      <c r="C31" s="30" t="n"/>
      <c r="D31" s="31" t="n"/>
    </row>
    <row r="32" ht="20" customHeight="1">
      <c r="A32" s="33" t="inlineStr">
        <is>
          <t>Heatsink</t>
        </is>
      </c>
      <c r="B32" s="8" t="inlineStr">
        <is>
          <t>ต้องการ Rth ≤ (T_j_max – T_amb) / P_loss ต่อตัว</t>
        </is>
      </c>
      <c r="C32" s="30" t="n"/>
      <c r="D32" s="31" t="n"/>
    </row>
    <row r="33" ht="20" customHeight="1">
      <c r="A33" s="29" t="inlineStr">
        <is>
          <t>P_loss/ตัว (แนะนำ)</t>
        </is>
      </c>
      <c r="B33" s="4" t="inlineStr">
        <is>
          <t>≈ I²×Rds×0.5 (conduction) + 0.5×Qg×V_gs×f_sw (switching) ≈ 2–5 W/ตัว</t>
        </is>
      </c>
      <c r="C33" s="30" t="n"/>
      <c r="D33" s="31" t="n"/>
    </row>
    <row r="34" ht="20" customHeight="1">
      <c r="A34" s="33" t="inlineStr">
        <is>
          <t>Thermal paste</t>
        </is>
      </c>
      <c r="B34" s="8" t="inlineStr">
        <is>
          <t>ทาระหว่าง MOSFET กับ heatsink ลด Rth_contact</t>
        </is>
      </c>
      <c r="C34" s="30" t="n"/>
      <c r="D34" s="31" t="n"/>
    </row>
  </sheetData>
  <mergeCells count="33">
    <mergeCell ref="B11:D11"/>
    <mergeCell ref="A23:D23"/>
    <mergeCell ref="B14:D14"/>
    <mergeCell ref="A4:D4"/>
    <mergeCell ref="B8:D8"/>
    <mergeCell ref="A20:D20"/>
    <mergeCell ref="B17:D17"/>
    <mergeCell ref="B13:D13"/>
    <mergeCell ref="B29:D29"/>
    <mergeCell ref="B34:D34"/>
    <mergeCell ref="B10:D10"/>
    <mergeCell ref="B28:D28"/>
    <mergeCell ref="A9:D9"/>
    <mergeCell ref="B19:D19"/>
    <mergeCell ref="A31:D31"/>
    <mergeCell ref="A15:D15"/>
    <mergeCell ref="B30:D30"/>
    <mergeCell ref="B6:D6"/>
    <mergeCell ref="B24:D24"/>
    <mergeCell ref="B33:D33"/>
    <mergeCell ref="A1:D1"/>
    <mergeCell ref="B5:D5"/>
    <mergeCell ref="B32:D32"/>
    <mergeCell ref="B7:D7"/>
    <mergeCell ref="B25:D25"/>
    <mergeCell ref="B16:D16"/>
    <mergeCell ref="B3:D3"/>
    <mergeCell ref="B22:D22"/>
    <mergeCell ref="A26:D26"/>
    <mergeCell ref="B18:D18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2026-05-23T19:08:28Z</dcterms:created>
  <dcterms:modified xmlns:dcterms="http://purl.org/dc/terms/" xmlns:xsi="http://www.w3.org/2001/XMLSchema-instance" xsi:type="dcterms:W3CDTF">2026-05-26T17:18:19Z</dcterms:modified>
</cp:coreProperties>
</file>