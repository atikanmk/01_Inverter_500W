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2026\Inverter\01_Inverter_500W\design\"/>
    </mc:Choice>
  </mc:AlternateContent>
  <xr:revisionPtr revIDLastSave="0" documentId="13_ncr:1_{E038B931-E7BD-4DA4-B879-457BA69265B3}" xr6:coauthVersionLast="47" xr6:coauthVersionMax="47" xr10:uidLastSave="{00000000-0000-0000-0000-000000000000}"/>
  <bookViews>
    <workbookView xWindow="-120" yWindow="-120" windowWidth="29040" windowHeight="15720" activeTab="2" xr2:uid="{7044299D-2F66-4669-AADE-DEDF773D036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14" i="2" l="1"/>
  <c r="X13" i="2"/>
  <c r="X15" i="2"/>
  <c r="X16" i="2"/>
  <c r="X17" i="2"/>
  <c r="X18" i="2"/>
  <c r="D13" i="1"/>
  <c r="D12" i="1"/>
  <c r="D11" i="1"/>
  <c r="D10" i="1"/>
  <c r="D8" i="1"/>
  <c r="B10" i="1"/>
</calcChain>
</file>

<file path=xl/sharedStrings.xml><?xml version="1.0" encoding="utf-8"?>
<sst xmlns="http://schemas.openxmlformats.org/spreadsheetml/2006/main" count="5" uniqueCount="5">
  <si>
    <t>Code</t>
  </si>
  <si>
    <t>Angle</t>
  </si>
  <si>
    <t>Hall1</t>
  </si>
  <si>
    <t>Hall2</t>
  </si>
  <si>
    <t>Hall3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</si>
</sst>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19</xdr:col>
      <xdr:colOff>523875</xdr:colOff>
      <xdr:row>41</xdr:row>
      <xdr:rowOff>86582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9519C8-1498-7D9F-9A59-43CC72614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762000"/>
          <a:ext cx="10277475" cy="7135082"/>
        </a:xfrm>
        <a:prstGeom prst="rect">
          <a:avLst/>
        </a:prstGeom>
      </xdr:spPr>
    </xdr:pic>
    <xdr:clientData/>
  </xdr:twoCellAnchor>
  <xdr:twoCellAnchor>
    <xdr:from>
      <xdr:col>11</xdr:col>
      <xdr:colOff>323850</xdr:colOff>
      <xdr:row>12</xdr:row>
      <xdr:rowOff>180975</xdr:rowOff>
    </xdr:from>
    <xdr:to>
      <xdr:col>11</xdr:col>
      <xdr:colOff>323850</xdr:colOff>
      <xdr:row>32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D4A054D-7258-C207-59BC-FCFBD18ABEC1}"/>
            </a:ext>
          </a:extLst>
        </xdr:cNvPr>
        <xdr:cNvCxnSpPr/>
      </xdr:nvCxnSpPr>
      <xdr:spPr>
        <a:xfrm>
          <a:off x="7029450" y="2466975"/>
          <a:ext cx="0" cy="37719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13</xdr:row>
      <xdr:rowOff>95250</xdr:rowOff>
    </xdr:from>
    <xdr:to>
      <xdr:col>10</xdr:col>
      <xdr:colOff>304800</xdr:colOff>
      <xdr:row>33</xdr:row>
      <xdr:rowOff>57150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E6437FE-0E4D-4B24-8A57-8F0C3081B29F}"/>
            </a:ext>
          </a:extLst>
        </xdr:cNvPr>
        <xdr:cNvCxnSpPr/>
      </xdr:nvCxnSpPr>
      <xdr:spPr>
        <a:xfrm>
          <a:off x="6400800" y="2571750"/>
          <a:ext cx="0" cy="37719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13</xdr:row>
      <xdr:rowOff>95250</xdr:rowOff>
    </xdr:from>
    <xdr:to>
      <xdr:col>10</xdr:col>
      <xdr:colOff>600075</xdr:colOff>
      <xdr:row>33</xdr:row>
      <xdr:rowOff>57150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6CFD277-0195-464E-9D1C-77F28C968A6F}"/>
            </a:ext>
          </a:extLst>
        </xdr:cNvPr>
        <xdr:cNvCxnSpPr/>
      </xdr:nvCxnSpPr>
      <xdr:spPr>
        <a:xfrm>
          <a:off x="6696075" y="2571750"/>
          <a:ext cx="0" cy="37719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12</xdr:row>
      <xdr:rowOff>95250</xdr:rowOff>
    </xdr:from>
    <xdr:to>
      <xdr:col>12</xdr:col>
      <xdr:colOff>0</xdr:colOff>
      <xdr:row>32</xdr:row>
      <xdr:rowOff>57150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22A7C09C-5EDD-7DE4-F4D3-5EA1378C5A58}"/>
            </a:ext>
          </a:extLst>
        </xdr:cNvPr>
        <xdr:cNvCxnSpPr/>
      </xdr:nvCxnSpPr>
      <xdr:spPr>
        <a:xfrm>
          <a:off x="7315200" y="2381250"/>
          <a:ext cx="0" cy="37719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304800</xdr:colOff>
      <xdr:row>13</xdr:row>
      <xdr:rowOff>9525</xdr:rowOff>
    </xdr:from>
    <xdr:to>
      <xdr:col>12</xdr:col>
      <xdr:colOff>304800</xdr:colOff>
      <xdr:row>32</xdr:row>
      <xdr:rowOff>161925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C423BF8-6F0A-4778-BB1A-C50F752E37BF}"/>
            </a:ext>
          </a:extLst>
        </xdr:cNvPr>
        <xdr:cNvCxnSpPr/>
      </xdr:nvCxnSpPr>
      <xdr:spPr>
        <a:xfrm>
          <a:off x="7620000" y="2486025"/>
          <a:ext cx="0" cy="37719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6</xdr:row>
      <xdr:rowOff>66675</xdr:rowOff>
    </xdr:from>
    <xdr:to>
      <xdr:col>16</xdr:col>
      <xdr:colOff>496506</xdr:colOff>
      <xdr:row>43</xdr:row>
      <xdr:rowOff>115290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96CA78-5BB1-91B5-80D6-D99D01CAF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9725" y="1209675"/>
          <a:ext cx="8640381" cy="7097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F90B-5590-4CAC-9D4A-9F64F1DC218E}">
  <dimension ref="B1:D13"/>
  <sheetViews>
    <sheetView workbookViewId="0">
      <selection activeCell="L5" sqref="L5"/>
    </sheetView>
  </sheetViews>
  <sheetFormatPr defaultRowHeight="15" x14ac:dyDescent="0.25"/>
  <sheetData>
    <row r="1" spans="2:4" x14ac:dyDescent="0.25">
      <c r="D1" t="s">
        <v>0</v>
      </c>
    </row>
    <row r="2" spans="2:4" x14ac:dyDescent="0.25">
      <c r="B2">
        <v>38000</v>
      </c>
      <c r="D2">
        <v>-7500</v>
      </c>
    </row>
    <row r="3" spans="2:4" x14ac:dyDescent="0.25">
      <c r="B3">
        <v>50000</v>
      </c>
      <c r="D3">
        <v>-800</v>
      </c>
    </row>
    <row r="4" spans="2:4" x14ac:dyDescent="0.25">
      <c r="B4">
        <v>80000</v>
      </c>
      <c r="D4">
        <v>-1500</v>
      </c>
    </row>
    <row r="5" spans="2:4" x14ac:dyDescent="0.25">
      <c r="B5">
        <v>-7500</v>
      </c>
      <c r="D5">
        <v>-2000</v>
      </c>
    </row>
    <row r="6" spans="2:4" x14ac:dyDescent="0.25">
      <c r="B6">
        <v>-6000</v>
      </c>
      <c r="D6">
        <v>-800</v>
      </c>
    </row>
    <row r="7" spans="2:4" x14ac:dyDescent="0.25">
      <c r="B7">
        <v>-2000</v>
      </c>
      <c r="D7">
        <v>-9000</v>
      </c>
    </row>
    <row r="8" spans="2:4" x14ac:dyDescent="0.25">
      <c r="B8">
        <v>-800</v>
      </c>
      <c r="D8">
        <f>SUM(D2:D7)</f>
        <v>-21600</v>
      </c>
    </row>
    <row r="9" spans="2:4" x14ac:dyDescent="0.25">
      <c r="B9">
        <v>-2000</v>
      </c>
      <c r="D9">
        <v>49900</v>
      </c>
    </row>
    <row r="10" spans="2:4" x14ac:dyDescent="0.25">
      <c r="B10">
        <f>SUM(B2:B9)</f>
        <v>149700</v>
      </c>
      <c r="D10">
        <f>D9+D8</f>
        <v>28300</v>
      </c>
    </row>
    <row r="11" spans="2:4" x14ac:dyDescent="0.25">
      <c r="D11">
        <f>D10*12</f>
        <v>339600</v>
      </c>
    </row>
    <row r="12" spans="2:4" x14ac:dyDescent="0.25">
      <c r="D12">
        <f>D11+70000</f>
        <v>409600</v>
      </c>
    </row>
    <row r="13" spans="2:4" x14ac:dyDescent="0.25">
      <c r="D13">
        <f>D12*4</f>
        <v>1638400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DE28-4065-4878-9726-2AF5B775B8A6}">
  <dimension ref="U12:Z18"/>
  <sheetViews>
    <sheetView topLeftCell="C40" workbookViewId="0">
      <selection activeCell="E3" sqref="E3"/>
    </sheetView>
  </sheetViews>
  <sheetFormatPr defaultRowHeight="15" x14ac:dyDescent="0.25"/>
  <sheetData>
    <row r="12" spans="21:26" x14ac:dyDescent="0.25">
      <c r="U12" t="s">
        <v>2</v>
      </c>
      <c r="V12" t="s">
        <v>3</v>
      </c>
      <c r="W12" t="s">
        <v>4</v>
      </c>
      <c r="X12" t="s">
        <v>1</v>
      </c>
    </row>
    <row r="13" spans="21:26" x14ac:dyDescent="0.25">
      <c r="U13">
        <v>0</v>
      </c>
      <c r="V13">
        <v>1</v>
      </c>
      <c r="W13">
        <v>1</v>
      </c>
      <c r="X13">
        <f>Z13-90+360</f>
        <v>270</v>
      </c>
      <c r="Z13">
        <v>0</v>
      </c>
    </row>
    <row r="14" spans="21:26" x14ac:dyDescent="0.25">
      <c r="U14">
        <v>0</v>
      </c>
      <c r="V14">
        <v>1</v>
      </c>
      <c r="W14">
        <v>0</v>
      </c>
      <c r="X14">
        <f>Z14-90+360</f>
        <v>330</v>
      </c>
      <c r="Z14">
        <v>60</v>
      </c>
    </row>
    <row r="15" spans="21:26" x14ac:dyDescent="0.25">
      <c r="U15">
        <v>1</v>
      </c>
      <c r="V15">
        <v>1</v>
      </c>
      <c r="W15">
        <v>0</v>
      </c>
      <c r="X15">
        <f>Z15-90</f>
        <v>30</v>
      </c>
      <c r="Z15">
        <v>120</v>
      </c>
    </row>
    <row r="16" spans="21:26" x14ac:dyDescent="0.25">
      <c r="U16">
        <v>1</v>
      </c>
      <c r="V16">
        <v>0</v>
      </c>
      <c r="W16">
        <v>0</v>
      </c>
      <c r="X16">
        <f>Z16-90</f>
        <v>90</v>
      </c>
      <c r="Z16">
        <v>180</v>
      </c>
    </row>
    <row r="17" spans="21:26" x14ac:dyDescent="0.25">
      <c r="U17">
        <v>1</v>
      </c>
      <c r="V17">
        <v>0</v>
      </c>
      <c r="W17">
        <v>1</v>
      </c>
      <c r="X17">
        <f>Z17-90</f>
        <v>150</v>
      </c>
      <c r="Z17">
        <v>240</v>
      </c>
    </row>
    <row r="18" spans="21:26" x14ac:dyDescent="0.25">
      <c r="U18">
        <v>0</v>
      </c>
      <c r="V18">
        <v>0</v>
      </c>
      <c r="W18">
        <v>1</v>
      </c>
      <c r="X18">
        <f>Z18-90</f>
        <v>210</v>
      </c>
      <c r="Z18">
        <v>300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71A5-A700-445C-940C-86A2DC292D0B}">
  <dimension ref="A1"/>
  <sheetViews>
    <sheetView tabSelected="1" topLeftCell="A7" workbookViewId="0">
      <selection activeCell="A10" sqref="A1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Atikan Marikan</dc:creator>
  <cp:lastModifiedBy>Atikan Marikan</cp:lastModifiedBy>
  <dcterms:created xsi:type="dcterms:W3CDTF">2026-09-06T15:22:34Z</dcterms:created>
  <dcterms:modified xsi:type="dcterms:W3CDTF">2026-09-16T16:06:29Z</dcterms:modified>
</cp:coreProperties>
</file>